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9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445F3D80-7B43-41DF-8FA6-F506263744ED}" xr6:coauthVersionLast="47" xr6:coauthVersionMax="47" xr10:uidLastSave="{00000000-0000-0000-0000-000000000000}"/>
  <bookViews>
    <workbookView xWindow="0" yWindow="0" windowWidth="28800" windowHeight="13905" activeTab="1" xr2:uid="{00000000-000D-0000-FFFF-FFFF00000000}"/>
  </bookViews>
  <sheets>
    <sheet name="Sheet1" sheetId="1" r:id="rId1"/>
    <sheet name="Sheet3" sheetId="3" r:id="rId2"/>
    <sheet name="Sheet4" sheetId="4" r:id="rId3"/>
    <sheet name="Sheet2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3" l="1"/>
  <c r="L14" i="3"/>
  <c r="L15" i="3"/>
  <c r="L16" i="3"/>
  <c r="E13" i="3"/>
  <c r="L12" i="3" s="1"/>
  <c r="E12" i="3"/>
  <c r="H12" i="3"/>
  <c r="C6" i="3"/>
  <c r="S3" i="3"/>
  <c r="U3" i="3"/>
  <c r="W3" i="3"/>
  <c r="S4" i="3"/>
  <c r="U4" i="3"/>
  <c r="W4" i="3"/>
  <c r="S5" i="3"/>
  <c r="U5" i="3"/>
  <c r="W5" i="3"/>
  <c r="S6" i="3"/>
  <c r="U6" i="3"/>
  <c r="W6" i="3"/>
  <c r="S2" i="3"/>
  <c r="U2" i="3"/>
  <c r="W2" i="3"/>
  <c r="N3" i="3"/>
  <c r="O3" i="3"/>
  <c r="P3" i="3"/>
  <c r="Q3" i="3"/>
  <c r="R3" i="3"/>
  <c r="N4" i="3"/>
  <c r="O4" i="3"/>
  <c r="P4" i="3"/>
  <c r="Q4" i="3"/>
  <c r="R4" i="3"/>
  <c r="N5" i="3"/>
  <c r="O5" i="3"/>
  <c r="P5" i="3"/>
  <c r="Q5" i="3"/>
  <c r="R5" i="3"/>
  <c r="N6" i="3"/>
  <c r="O6" i="3"/>
  <c r="P6" i="3"/>
  <c r="Q6" i="3"/>
  <c r="R6" i="3"/>
  <c r="O2" i="3"/>
  <c r="P2" i="3"/>
  <c r="Q2" i="3"/>
  <c r="R2" i="3"/>
  <c r="N2" i="3"/>
  <c r="J3" i="3"/>
  <c r="K3" i="3"/>
  <c r="L3" i="3"/>
  <c r="M3" i="3"/>
  <c r="J4" i="3"/>
  <c r="K4" i="3"/>
  <c r="L4" i="3"/>
  <c r="M4" i="3"/>
  <c r="J5" i="3"/>
  <c r="K5" i="3"/>
  <c r="L5" i="3"/>
  <c r="M5" i="3"/>
  <c r="J6" i="3"/>
  <c r="K6" i="3"/>
  <c r="L6" i="3"/>
  <c r="M6" i="3"/>
  <c r="K2" i="3"/>
  <c r="L2" i="3"/>
  <c r="M2" i="3"/>
  <c r="H2" i="3"/>
  <c r="I2" i="3"/>
  <c r="J2" i="3"/>
  <c r="H3" i="3"/>
  <c r="I3" i="3"/>
  <c r="H4" i="3"/>
  <c r="I4" i="3"/>
  <c r="H5" i="3"/>
  <c r="I5" i="3"/>
  <c r="H6" i="3"/>
  <c r="I6" i="3"/>
  <c r="G3" i="3"/>
  <c r="G4" i="3"/>
  <c r="G5" i="3"/>
  <c r="G6" i="3"/>
  <c r="G2" i="3"/>
  <c r="C1" i="3"/>
  <c r="C27" i="3"/>
  <c r="C26" i="3"/>
  <c r="C25" i="3"/>
  <c r="C24" i="3"/>
  <c r="C23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C3" i="3"/>
  <c r="D3" i="3"/>
  <c r="E3" i="3"/>
  <c r="F3" i="3"/>
  <c r="C4" i="3"/>
  <c r="D4" i="3"/>
  <c r="E4" i="3"/>
  <c r="F4" i="3"/>
  <c r="C5" i="3"/>
  <c r="D5" i="3"/>
  <c r="E5" i="3"/>
  <c r="F5" i="3"/>
  <c r="D6" i="3"/>
  <c r="E6" i="3"/>
  <c r="F6" i="3"/>
  <c r="D2" i="3"/>
  <c r="E2" i="3"/>
  <c r="F2" i="3"/>
  <c r="C2" i="3"/>
  <c r="C7" i="3" s="1"/>
  <c r="I12" i="3" l="1"/>
  <c r="I13" i="3"/>
  <c r="I14" i="3"/>
  <c r="I15" i="3"/>
  <c r="I16" i="3"/>
  <c r="N12" i="3"/>
  <c r="H19" i="3"/>
  <c r="N16" i="3"/>
  <c r="N15" i="3"/>
  <c r="N14" i="3"/>
  <c r="N13" i="3"/>
  <c r="H16" i="3"/>
  <c r="H23" i="3" s="1"/>
  <c r="H15" i="3"/>
  <c r="H22" i="3" s="1"/>
  <c r="H14" i="3"/>
  <c r="H21" i="3" s="1"/>
  <c r="H13" i="3"/>
  <c r="H20" i="3" s="1"/>
  <c r="K12" i="3"/>
  <c r="K16" i="3"/>
  <c r="K15" i="3"/>
  <c r="K14" i="3"/>
  <c r="K13" i="3"/>
  <c r="K20" i="3" l="1"/>
  <c r="K21" i="3"/>
  <c r="K22" i="3"/>
  <c r="K23" i="3"/>
  <c r="K19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U7" i="3"/>
  <c r="W7" i="3"/>
</calcChain>
</file>

<file path=xl/sharedStrings.xml><?xml version="1.0" encoding="utf-8"?>
<sst xmlns="http://schemas.openxmlformats.org/spreadsheetml/2006/main" count="310" uniqueCount="71">
  <si>
    <t>Id</t>
  </si>
  <si>
    <t>Start time</t>
  </si>
  <si>
    <t>0</t>
  </si>
  <si>
    <t>Email</t>
  </si>
  <si>
    <t>Name</t>
  </si>
  <si>
    <t>Imagine a relative or a friend you see often.The exact contours of face, head, shoulders and body.</t>
  </si>
  <si>
    <t>Imagine a relative or a friend you see often.Characteristic poses of head, attitudes of body, etc.</t>
  </si>
  <si>
    <t>Imagine a relative or a friend you see often.The precise carriage, length of step, etc., in walking.</t>
  </si>
  <si>
    <t>Imagine a relative or a friend you see often.The different colors of some familiar clothes.</t>
  </si>
  <si>
    <t>Visualize a rising sun.The sun rising above the horizon into a hazy sky.</t>
  </si>
  <si>
    <t>Visualize a rising sun.The sky clears and surrounds the sun with blueness.</t>
  </si>
  <si>
    <t>Visualize a rising sun.Clouds: a storm blows up with flashes of lightning.</t>
  </si>
  <si>
    <t>Visualize a rising sun.A rainbow appears.</t>
  </si>
  <si>
    <t>Imagine the front of a familiar shop.The overall appearance of the shop from the opposite side of the road.</t>
  </si>
  <si>
    <t>Imagine the front of a familiar shop.A window display including colors, shapes and details of individual items.</t>
  </si>
  <si>
    <t>Imagine the front of a familiar shop.You are near the entrance: the color, shape and details of the door.</t>
  </si>
  <si>
    <t>Imagine the front of a familiar shop.Inside at the counter: the assistant serves you and money changes hands.</t>
  </si>
  <si>
    <t>Visualize a country scene.The contours of the landscape (trees, mountains, lake).</t>
  </si>
  <si>
    <t>Visualize a country scene.The color and shape of the trees.</t>
  </si>
  <si>
    <t>Visualize a country scene.The color and shape of the lake.</t>
  </si>
  <si>
    <t>Visualize a country scene.A strong wind blows on the trees and lake, causing waves.</t>
  </si>
  <si>
    <t>Imagination vividness while listening to music.Audio_1</t>
  </si>
  <si>
    <t>(Optional) What did you imagine while listening Audio_1?</t>
  </si>
  <si>
    <t>Imagination vividness while listening to music.Audio_2</t>
  </si>
  <si>
    <t>(Optional) What did you imagine while listening Audio_2?</t>
  </si>
  <si>
    <t>Imagination vividness while listening to music.Audio_3</t>
  </si>
  <si>
    <t>(Optional) What did you imagine while listening Audio_3?</t>
  </si>
  <si>
    <t>anonymous</t>
  </si>
  <si>
    <t>No image at all, you only know that you are thinking of the object</t>
  </si>
  <si>
    <t>Nah</t>
  </si>
  <si>
    <t>Ville ønske der var en skov.. ) :</t>
  </si>
  <si>
    <t xml:space="preserve">Club Penguin Tutorial </t>
  </si>
  <si>
    <t>Perfectly clear and as vivid as normal vision</t>
  </si>
  <si>
    <t>Moderately clear and vivid</t>
  </si>
  <si>
    <t>Clear and reasonably vivid</t>
  </si>
  <si>
    <t xml:space="preserve">Concert, playing drums, party and bar </t>
  </si>
  <si>
    <t>Tavern, folk musik, love song</t>
  </si>
  <si>
    <t xml:space="preserve">Advertisement for something, website, </t>
  </si>
  <si>
    <t>Vague and dim</t>
  </si>
  <si>
    <t>Felt like being in a small room, playing instruments with some others.</t>
  </si>
  <si>
    <t>Just pleasant music, didn't give me the feeling of being present in a setting.</t>
  </si>
  <si>
    <t>Kinda weird, it gave me the feeling of moments from my past, but nothing concrete. I think it is because the first notes reminded me of a song from a long time ago.</t>
  </si>
  <si>
    <t>Roblox 😳</t>
  </si>
  <si>
    <t xml:space="preserve">I see my friends and myself on a rock concert jumping around and smiling. Nearly there’s pogo. It’s a dark room, some lighting that blinds me slightly </t>
  </si>
  <si>
    <t xml:space="preserve">A Japanese tea time in a garden with girls in light-colour clothes </t>
  </si>
  <si>
    <t>Corporate video that is very basic and “trendy”</t>
  </si>
  <si>
    <t>A band playing music on a scene, like small concert thing. Guitar, drums and such.</t>
  </si>
  <si>
    <t xml:space="preserve">
A girl sitting in a window sill/ledge thingy with multiple pillows and a warm fuzzy blanket, while having a warm teacup in her hands with cat motives on it. She is looking out the window at the rain calmly pouring down.</t>
  </si>
  <si>
    <t>It is summertime. Beachwalks, out in the park enjoying the flowers, a good cold drink, sunglasses and very light with the sun shining,  hanging with friends.</t>
  </si>
  <si>
    <t>A recording studio</t>
  </si>
  <si>
    <t>A trio of guitarists playing.</t>
  </si>
  <si>
    <t>Windmills, people smiling in an office at a whiteboard.</t>
  </si>
  <si>
    <t>a scene from an archetypal 2000's teenage movie - think high school musical - going from the hallways of a high school to the gymnasium/meeting hall.</t>
  </si>
  <si>
    <t>walking through a medieval fantasy town, specifically through the marketplace of said town with booths and stands covering both sides of the street.</t>
  </si>
  <si>
    <t>travel/airplane commercials</t>
  </si>
  <si>
    <t>A band practicing.</t>
  </si>
  <si>
    <t>A log cabin.</t>
  </si>
  <si>
    <t>A YouTube tutorial, with notepad in place of a microphone.</t>
  </si>
  <si>
    <t>The club going crazy in a blurry mess of party and vibes. As well as a motorcycle ride down the highway</t>
  </si>
  <si>
    <t>Sitting by the mediterarrian sea and enjoying a nice stroll through a small city by the coast, as the time is around 8 pm and the sun is slowly setting.</t>
  </si>
  <si>
    <t>I am watching a youtube tutorial where a notepad appears on screen explaining me how to build a house in minecraft</t>
  </si>
  <si>
    <t xml:space="preserve"> </t>
  </si>
  <si>
    <t>Score</t>
  </si>
  <si>
    <t>Total from first test</t>
  </si>
  <si>
    <t>%</t>
  </si>
  <si>
    <t>Total from second test</t>
  </si>
  <si>
    <t>Total</t>
  </si>
  <si>
    <t>Total %</t>
  </si>
  <si>
    <t>Total % second</t>
  </si>
  <si>
    <t>Total from first test Divided</t>
  </si>
  <si>
    <t>Diffrance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</si>
</sst>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5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exact contours of face, head, shoulders and body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Sheet3!$B$2:$B$6</c:f>
              <c:strCache>
                <c:ptCount val="5"/>
                <c:pt idx="0">
                  <c:v>No image at all, you only know that you are thinking of the object</c:v>
                </c:pt>
                <c:pt idx="1">
                  <c:v>Vague and dim</c:v>
                </c:pt>
                <c:pt idx="2">
                  <c:v>Moderately clear and vivid</c:v>
                </c:pt>
                <c:pt idx="3">
                  <c:v>Clear and reasonably vivid</c:v>
                </c:pt>
                <c:pt idx="4">
                  <c:v>Perfectly clear and as vivid as normal vision</c:v>
                </c:pt>
              </c:strCache>
            </c:strRef>
          </c:cat>
          <c:val>
            <c:numRef>
              <c:f>Sheet3!$C$2:$C$6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0-4797-AE13-AE5C1597A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711496"/>
        <c:axId val="1331741192"/>
      </c:barChart>
      <c:catAx>
        <c:axId val="1331711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741192"/>
        <c:crosses val="autoZero"/>
        <c:auto val="1"/>
        <c:lblAlgn val="ctr"/>
        <c:lblOffset val="100"/>
        <c:noMultiLvlLbl val="0"/>
      </c:catAx>
      <c:valAx>
        <c:axId val="133174119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711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Characteristic poses of head, attitudes of body, etc.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Sheet3!$B$9:$B$13</c:f>
              <c:strCache>
                <c:ptCount val="5"/>
                <c:pt idx="0">
                  <c:v>No image at all, you only know that you are thinking of the object</c:v>
                </c:pt>
                <c:pt idx="1">
                  <c:v>Vague and dim</c:v>
                </c:pt>
                <c:pt idx="2">
                  <c:v>Moderately clear and vivid</c:v>
                </c:pt>
                <c:pt idx="3">
                  <c:v>Clear and reasonably vivid</c:v>
                </c:pt>
                <c:pt idx="4">
                  <c:v>Perfectly clear and as vivid as normal vision</c:v>
                </c:pt>
              </c:strCache>
            </c:strRef>
          </c:cat>
          <c:val>
            <c:numRef>
              <c:f>Sheet3!$C$9:$C$13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A-4080-99D5-09B9D3679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257991"/>
        <c:axId val="937301511"/>
      </c:barChart>
      <c:catAx>
        <c:axId val="937257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301511"/>
        <c:crosses val="autoZero"/>
        <c:auto val="1"/>
        <c:lblAlgn val="ctr"/>
        <c:lblOffset val="100"/>
        <c:noMultiLvlLbl val="0"/>
      </c:catAx>
      <c:valAx>
        <c:axId val="937301511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257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precise carriage, length of step, etc., in walking.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Sheet3!$B$16:$B$20</c:f>
              <c:strCache>
                <c:ptCount val="5"/>
                <c:pt idx="0">
                  <c:v>No image at all, you only know that you are thinking of the object</c:v>
                </c:pt>
                <c:pt idx="1">
                  <c:v>Vague and dim</c:v>
                </c:pt>
                <c:pt idx="2">
                  <c:v>Moderately clear and vivid</c:v>
                </c:pt>
                <c:pt idx="3">
                  <c:v>Clear and reasonably vivid</c:v>
                </c:pt>
                <c:pt idx="4">
                  <c:v>Perfectly clear and as vivid as normal vision</c:v>
                </c:pt>
              </c:strCache>
            </c:strRef>
          </c:cat>
          <c:val>
            <c:numRef>
              <c:f>Sheet3!$C$16:$C$20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8-436A-A70E-0973CB1AE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3401479"/>
        <c:axId val="975905799"/>
      </c:barChart>
      <c:catAx>
        <c:axId val="943401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905799"/>
        <c:crosses val="autoZero"/>
        <c:auto val="1"/>
        <c:lblAlgn val="ctr"/>
        <c:lblOffset val="100"/>
        <c:noMultiLvlLbl val="0"/>
      </c:catAx>
      <c:valAx>
        <c:axId val="975905799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401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different colors of some familiar clothes.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Sheet3!$B$23:$B$27</c:f>
              <c:strCache>
                <c:ptCount val="5"/>
                <c:pt idx="0">
                  <c:v>No image at all, you only know that you are thinking of the object</c:v>
                </c:pt>
                <c:pt idx="1">
                  <c:v>Vague and dim</c:v>
                </c:pt>
                <c:pt idx="2">
                  <c:v>Moderately clear and vivid</c:v>
                </c:pt>
                <c:pt idx="3">
                  <c:v>Clear and reasonably vivid</c:v>
                </c:pt>
                <c:pt idx="4">
                  <c:v>Perfectly clear and as vivid as normal vision</c:v>
                </c:pt>
              </c:strCache>
            </c:strRef>
          </c:cat>
          <c:val>
            <c:numRef>
              <c:f>Sheet3!$C$23:$C$27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D-4A2E-A56F-8261D388E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5742471"/>
        <c:axId val="1335744519"/>
      </c:barChart>
      <c:catAx>
        <c:axId val="1335742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744519"/>
        <c:crosses val="autoZero"/>
        <c:auto val="1"/>
        <c:lblAlgn val="ctr"/>
        <c:lblOffset val="100"/>
        <c:noMultiLvlLbl val="0"/>
      </c:catAx>
      <c:valAx>
        <c:axId val="1335744519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742471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418760"/>
        <c:axId val="1152956936"/>
      </c:barChart>
      <c:catAx>
        <c:axId val="713418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6936"/>
        <c:crosses val="autoZero"/>
        <c:auto val="1"/>
        <c:lblAlgn val="ctr"/>
        <c:lblOffset val="100"/>
        <c:noMultiLvlLbl val="0"/>
      </c:catAx>
      <c:valAx>
        <c:axId val="1152956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18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Vividness of image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 image at all, you only know that you are thinking of the object</c:v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val>
            <c:numRef>
              <c:f>Sheet2!$A$20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495-47A3-8923-9E406177D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342151"/>
        <c:axId val="878344199"/>
      </c:barChart>
      <c:catAx>
        <c:axId val="878342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344199"/>
        <c:crosses val="autoZero"/>
        <c:auto val="1"/>
        <c:lblAlgn val="ctr"/>
        <c:lblOffset val="100"/>
        <c:noMultiLvlLbl val="0"/>
      </c:catAx>
      <c:valAx>
        <c:axId val="878344199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342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28</xdr:row>
      <xdr:rowOff>19050</xdr:rowOff>
    </xdr:from>
    <xdr:to>
      <xdr:col>2</xdr:col>
      <xdr:colOff>476250</xdr:colOff>
      <xdr:row>42</xdr:row>
      <xdr:rowOff>95250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F4C0631B-F2DB-B123-8274-09020BE62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28</xdr:row>
      <xdr:rowOff>114300</xdr:rowOff>
    </xdr:from>
    <xdr:to>
      <xdr:col>10</xdr:col>
      <xdr:colOff>304800</xdr:colOff>
      <xdr:row>43</xdr:row>
      <xdr:rowOff>0</xdr:rowOff>
    </xdr:to>
    <xdr:graphicFrame macro="">
      <xdr:nvGraphicFramePr>
        <xdr:cNvPr id="20" name="Chart 3">
          <a:extLst>
            <a:ext uri="{FF2B5EF4-FFF2-40B4-BE49-F238E27FC236}">
              <a16:creationId xmlns:a16="http://schemas.microsoft.com/office/drawing/2014/main" id="{3DE62301-4E2C-39A0-0E9A-642AC42899C5}"/>
            </a:ext>
            <a:ext uri="{147F2762-F138-4A5C-976F-8EAC2B608ADB}">
              <a16:predDERef xmlns:a16="http://schemas.microsoft.com/office/drawing/2014/main" pred="{F4C0631B-F2DB-B123-8274-09020BE62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238125</xdr:colOff>
      <xdr:row>43</xdr:row>
      <xdr:rowOff>133350</xdr:rowOff>
    </xdr:from>
    <xdr:to>
      <xdr:col>2</xdr:col>
      <xdr:colOff>381000</xdr:colOff>
      <xdr:row>58</xdr:row>
      <xdr:rowOff>19050</xdr:rowOff>
    </xdr:to>
    <xdr:graphicFrame macro="">
      <xdr:nvGraphicFramePr>
        <xdr:cNvPr id="21" name="Chart 4">
          <a:extLst>
            <a:ext uri="{FF2B5EF4-FFF2-40B4-BE49-F238E27FC236}">
              <a16:creationId xmlns:a16="http://schemas.microsoft.com/office/drawing/2014/main" id="{D2E5E343-AEAF-8689-31B4-1BC74B81A9BE}"/>
            </a:ext>
            <a:ext uri="{147F2762-F138-4A5C-976F-8EAC2B608ADB}">
              <a16:predDERef xmlns:a16="http://schemas.microsoft.com/office/drawing/2014/main" pred="{3DE62301-4E2C-39A0-0E9A-642AC4289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523875</xdr:colOff>
      <xdr:row>43</xdr:row>
      <xdr:rowOff>57150</xdr:rowOff>
    </xdr:from>
    <xdr:to>
      <xdr:col>10</xdr:col>
      <xdr:colOff>219075</xdr:colOff>
      <xdr:row>57</xdr:row>
      <xdr:rowOff>133350</xdr:rowOff>
    </xdr:to>
    <xdr:graphicFrame macro="">
      <xdr:nvGraphicFramePr>
        <xdr:cNvPr id="26" name="Chart 5">
          <a:extLst>
            <a:ext uri="{FF2B5EF4-FFF2-40B4-BE49-F238E27FC236}">
              <a16:creationId xmlns:a16="http://schemas.microsoft.com/office/drawing/2014/main" id="{AFB120E4-0DDC-53AF-231C-A37C6000FBF5}"/>
            </a:ext>
            <a:ext uri="{147F2762-F138-4A5C-976F-8EAC2B608ADB}">
              <a16:predDERef xmlns:a16="http://schemas.microsoft.com/office/drawing/2014/main" pred="{D2E5E343-AEAF-8689-31B4-1BC74B81A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33</xdr:row>
      <xdr:rowOff>133350</xdr:rowOff>
    </xdr:from>
    <xdr:to>
      <xdr:col>1</xdr:col>
      <xdr:colOff>2057400</xdr:colOff>
      <xdr:row>48</xdr:row>
      <xdr:rowOff>19050</xdr:rowOff>
    </xdr:to>
    <xdr:graphicFrame macro="">
      <xdr:nvGraphicFramePr>
        <xdr:cNvPr id="22" name="Chart 2">
          <a:extLst>
            <a:ext uri="{FF2B5EF4-FFF2-40B4-BE49-F238E27FC236}">
              <a16:creationId xmlns:a16="http://schemas.microsoft.com/office/drawing/2014/main" id="{5E676F66-4C60-110F-51C2-1E4E1B6B6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1333500</xdr:colOff>
      <xdr:row>13</xdr:row>
      <xdr:rowOff>161925</xdr:rowOff>
    </xdr:from>
    <xdr:to>
      <xdr:col>2</xdr:col>
      <xdr:colOff>1724025</xdr:colOff>
      <xdr:row>28</xdr:row>
      <xdr:rowOff>47625</xdr:rowOff>
    </xdr:to>
    <xdr:graphicFrame macro="">
      <xdr:nvGraphicFramePr>
        <xdr:cNvPr id="25" name="Chart 22">
          <a:extLst>
            <a:ext uri="{FF2B5EF4-FFF2-40B4-BE49-F238E27FC236}">
              <a16:creationId xmlns:a16="http://schemas.microsoft.com/office/drawing/2014/main" id="{5781D125-AD50-F348-18C8-6D3F8A190509}"/>
            </a:ext>
            <a:ext uri="{147F2762-F138-4A5C-976F-8EAC2B608ADB}">
              <a16:predDERef xmlns:a16="http://schemas.microsoft.com/office/drawing/2014/main" pred="{5E676F66-4C60-110F-51C2-1E4E1B6B6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A12" totalsRowCount="1">
  <autoFilter ref="A1:AA11" xr:uid="{00000000-0009-0000-0100-000001000000}"/>
  <tableColumns count="27">
    <tableColumn id="1" xr3:uid="{00000000-0010-0000-0000-000001000000}" name="Id" dataDxfId="48" totalsRowDxfId="4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0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46" totalsRowDxfId="4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44" totalsRowDxfId="4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Imagine a relative or a friend you see often.The exact contours of face, head, shoulders and body." dataDxfId="42" totalsRowDxfId="43">
      <extLst>
        <ext xmlns:xlmsforms="http://schemas.microsoft.com/office/spreadsheetml/2023/msForms" uri="{FCC71383-01E1-4257-9335-427F07BE8D7F}">
          <xlmsforms:question id="r4e244cd9776e4f07a44123310c76d553"/>
        </ext>
      </extLst>
    </tableColumn>
    <tableColumn id="7" xr3:uid="{00000000-0010-0000-0000-000007000000}" name="Imagine a relative or a friend you see often.Characteristic poses of head, attitudes of body, etc." dataDxfId="40" totalsRowDxfId="41">
      <extLst>
        <ext xmlns:xlmsforms="http://schemas.microsoft.com/office/spreadsheetml/2023/msForms" uri="{FCC71383-01E1-4257-9335-427F07BE8D7F}">
          <xlmsforms:question id="r7862ed6d486f4f48865e55b526d69e7a"/>
        </ext>
      </extLst>
    </tableColumn>
    <tableColumn id="8" xr3:uid="{00000000-0010-0000-0000-000008000000}" name="Imagine a relative or a friend you see often.The precise carriage, length of step, etc., in walking." dataDxfId="38" totalsRowDxfId="39">
      <extLst>
        <ext xmlns:xlmsforms="http://schemas.microsoft.com/office/spreadsheetml/2023/msForms" uri="{FCC71383-01E1-4257-9335-427F07BE8D7F}">
          <xlmsforms:question id="r0348f0f3741d448a87bec9a492b7a5b5"/>
        </ext>
      </extLst>
    </tableColumn>
    <tableColumn id="9" xr3:uid="{00000000-0010-0000-0000-000009000000}" name="Imagine a relative or a friend you see often.The different colors of some familiar clothes." dataDxfId="36" totalsRowDxfId="37">
      <extLst>
        <ext xmlns:xlmsforms="http://schemas.microsoft.com/office/spreadsheetml/2023/msForms" uri="{FCC71383-01E1-4257-9335-427F07BE8D7F}">
          <xlmsforms:question id="r901b1523abd34c2eb36b314bcfa98760"/>
        </ext>
      </extLst>
    </tableColumn>
    <tableColumn id="10" xr3:uid="{00000000-0010-0000-0000-00000A000000}" name="Visualize a rising sun.The sun rising above the horizon into a hazy sky." dataDxfId="34" totalsRowDxfId="35">
      <extLst>
        <ext xmlns:xlmsforms="http://schemas.microsoft.com/office/spreadsheetml/2023/msForms" uri="{FCC71383-01E1-4257-9335-427F07BE8D7F}">
          <xlmsforms:question id="r559ce574da484ed68a5052ee520b1447"/>
        </ext>
      </extLst>
    </tableColumn>
    <tableColumn id="11" xr3:uid="{00000000-0010-0000-0000-00000B000000}" name="Visualize a rising sun.The sky clears and surrounds the sun with blueness." dataDxfId="32" totalsRowDxfId="33">
      <extLst>
        <ext xmlns:xlmsforms="http://schemas.microsoft.com/office/spreadsheetml/2023/msForms" uri="{FCC71383-01E1-4257-9335-427F07BE8D7F}">
          <xlmsforms:question id="rcb6b1b1d288c4f8bacc0055e884c494a"/>
        </ext>
      </extLst>
    </tableColumn>
    <tableColumn id="12" xr3:uid="{00000000-0010-0000-0000-00000C000000}" name="Visualize a rising sun.Clouds: a storm blows up with flashes of lightning." dataDxfId="30" totalsRowDxfId="31">
      <extLst>
        <ext xmlns:xlmsforms="http://schemas.microsoft.com/office/spreadsheetml/2023/msForms" uri="{FCC71383-01E1-4257-9335-427F07BE8D7F}">
          <xlmsforms:question id="r9ee31e8e630d4f93921bd0315c84463f"/>
        </ext>
      </extLst>
    </tableColumn>
    <tableColumn id="13" xr3:uid="{00000000-0010-0000-0000-00000D000000}" name="Visualize a rising sun.A rainbow appears." dataDxfId="28" totalsRowDxfId="29">
      <extLst>
        <ext xmlns:xlmsforms="http://schemas.microsoft.com/office/spreadsheetml/2023/msForms" uri="{FCC71383-01E1-4257-9335-427F07BE8D7F}">
          <xlmsforms:question id="r2cc7b8ffabfc47ff99fc3127b5c39a75"/>
        </ext>
      </extLst>
    </tableColumn>
    <tableColumn id="14" xr3:uid="{00000000-0010-0000-0000-00000E000000}" name="Imagine the front of a familiar shop.The overall appearance of the shop from the opposite side of the road." dataDxfId="26" totalsRowDxfId="27">
      <extLst>
        <ext xmlns:xlmsforms="http://schemas.microsoft.com/office/spreadsheetml/2023/msForms" uri="{FCC71383-01E1-4257-9335-427F07BE8D7F}">
          <xlmsforms:question id="r3a4725bfbabc4f9d8cb5c93da8897cc9"/>
        </ext>
      </extLst>
    </tableColumn>
    <tableColumn id="15" xr3:uid="{00000000-0010-0000-0000-00000F000000}" name="Imagine the front of a familiar shop.A window display including colors, shapes and details of individual items." dataDxfId="24" totalsRowDxfId="25">
      <extLst>
        <ext xmlns:xlmsforms="http://schemas.microsoft.com/office/spreadsheetml/2023/msForms" uri="{FCC71383-01E1-4257-9335-427F07BE8D7F}">
          <xlmsforms:question id="r8050acf0d78743a3aa6c1bc6993c9e88"/>
        </ext>
      </extLst>
    </tableColumn>
    <tableColumn id="16" xr3:uid="{00000000-0010-0000-0000-000010000000}" name="Imagine the front of a familiar shop.You are near the entrance: the color, shape and details of the door." dataDxfId="22" totalsRowDxfId="23">
      <extLst>
        <ext xmlns:xlmsforms="http://schemas.microsoft.com/office/spreadsheetml/2023/msForms" uri="{FCC71383-01E1-4257-9335-427F07BE8D7F}">
          <xlmsforms:question id="r609be6c6cf684f71a12e2b1eef2a438d"/>
        </ext>
      </extLst>
    </tableColumn>
    <tableColumn id="17" xr3:uid="{00000000-0010-0000-0000-000011000000}" name="Imagine the front of a familiar shop.Inside at the counter: the assistant serves you and money changes hands." dataDxfId="20" totalsRowDxfId="21">
      <extLst>
        <ext xmlns:xlmsforms="http://schemas.microsoft.com/office/spreadsheetml/2023/msForms" uri="{FCC71383-01E1-4257-9335-427F07BE8D7F}">
          <xlmsforms:question id="re08d255baca642908fd85a8ae612ff07"/>
        </ext>
      </extLst>
    </tableColumn>
    <tableColumn id="18" xr3:uid="{00000000-0010-0000-0000-000012000000}" name="Visualize a country scene.The contours of the landscape (trees, mountains, lake)." dataDxfId="18" totalsRowDxfId="19">
      <extLst>
        <ext xmlns:xlmsforms="http://schemas.microsoft.com/office/spreadsheetml/2023/msForms" uri="{FCC71383-01E1-4257-9335-427F07BE8D7F}">
          <xlmsforms:question id="rea52be9f64e44a618f3e928a40b0dfc5"/>
        </ext>
      </extLst>
    </tableColumn>
    <tableColumn id="19" xr3:uid="{00000000-0010-0000-0000-000013000000}" name="Visualize a country scene.The color and shape of the trees." dataDxfId="16" totalsRowDxfId="17">
      <extLst>
        <ext xmlns:xlmsforms="http://schemas.microsoft.com/office/spreadsheetml/2023/msForms" uri="{FCC71383-01E1-4257-9335-427F07BE8D7F}">
          <xlmsforms:question id="re588420f45c74436a75f361a86dc8099"/>
        </ext>
      </extLst>
    </tableColumn>
    <tableColumn id="20" xr3:uid="{00000000-0010-0000-0000-000014000000}" name="Visualize a country scene.The color and shape of the lake." dataDxfId="14" totalsRowDxfId="15">
      <extLst>
        <ext xmlns:xlmsforms="http://schemas.microsoft.com/office/spreadsheetml/2023/msForms" uri="{FCC71383-01E1-4257-9335-427F07BE8D7F}">
          <xlmsforms:question id="r4bc9d6c7ad934da197c20a0956c80042"/>
        </ext>
      </extLst>
    </tableColumn>
    <tableColumn id="21" xr3:uid="{00000000-0010-0000-0000-000015000000}" name="Visualize a country scene.A strong wind blows on the trees and lake, causing waves." dataDxfId="12" totalsRowDxfId="13">
      <extLst>
        <ext xmlns:xlmsforms="http://schemas.microsoft.com/office/spreadsheetml/2023/msForms" uri="{FCC71383-01E1-4257-9335-427F07BE8D7F}">
          <xlmsforms:question id="rcf12eecb7dfe4d348d0fcc13b2adcb74"/>
        </ext>
      </extLst>
    </tableColumn>
    <tableColumn id="22" xr3:uid="{00000000-0010-0000-0000-000016000000}" name="Imagination vividness while listening to music.Audio_1" dataDxfId="10" totalsRowDxfId="11">
      <extLst>
        <ext xmlns:xlmsforms="http://schemas.microsoft.com/office/spreadsheetml/2023/msForms" uri="{FCC71383-01E1-4257-9335-427F07BE8D7F}">
          <xlmsforms:question id="r49d50450646a4754a71fba1db9f0ff42"/>
        </ext>
      </extLst>
    </tableColumn>
    <tableColumn id="23" xr3:uid="{00000000-0010-0000-0000-000017000000}" name="(Optional) What did you imagine while listening Audio_1?" dataDxfId="8" totalsRowDxfId="9">
      <extLst>
        <ext xmlns:xlmsforms="http://schemas.microsoft.com/office/spreadsheetml/2023/msForms" uri="{FCC71383-01E1-4257-9335-427F07BE8D7F}">
          <xlmsforms:question id="r70c2a9e942ad40aeb218fd4a25e7f13b"/>
        </ext>
      </extLst>
    </tableColumn>
    <tableColumn id="24" xr3:uid="{00000000-0010-0000-0000-000018000000}" name="Imagination vividness while listening to music.Audio_2" dataDxfId="6" totalsRowDxfId="7">
      <extLst>
        <ext xmlns:xlmsforms="http://schemas.microsoft.com/office/spreadsheetml/2023/msForms" uri="{FCC71383-01E1-4257-9335-427F07BE8D7F}">
          <xlmsforms:question id="r82c3d7a4ed3b4cd2860c2bbd6e4226fa"/>
        </ext>
      </extLst>
    </tableColumn>
    <tableColumn id="25" xr3:uid="{00000000-0010-0000-0000-000019000000}" name="(Optional) What did you imagine while listening Audio_2?" dataDxfId="4" totalsRowDxfId="5">
      <extLst>
        <ext xmlns:xlmsforms="http://schemas.microsoft.com/office/spreadsheetml/2023/msForms" uri="{FCC71383-01E1-4257-9335-427F07BE8D7F}">
          <xlmsforms:question id="r9a6b1f033f63429a93f3765641f5893c"/>
        </ext>
      </extLst>
    </tableColumn>
    <tableColumn id="26" xr3:uid="{00000000-0010-0000-0000-00001A000000}" name="Imagination vividness while listening to music.Audio_3" dataDxfId="2" totalsRowDxfId="3">
      <extLst>
        <ext xmlns:xlmsforms="http://schemas.microsoft.com/office/spreadsheetml/2023/msForms" uri="{FCC71383-01E1-4257-9335-427F07BE8D7F}">
          <xlmsforms:question id="ra793f372b4d349c0b273ed2330476822"/>
        </ext>
      </extLst>
    </tableColumn>
    <tableColumn id="27" xr3:uid="{00000000-0010-0000-0000-00001B000000}" name="(Optional) What did you imagine while listening Audio_3?" dataDxfId="0" totalsRowDxfId="1">
      <extLst>
        <ext xmlns:xlmsforms="http://schemas.microsoft.com/office/spreadsheetml/2023/msForms" uri="{FCC71383-01E1-4257-9335-427F07BE8D7F}">
          <xlmsforms:question id="r5b25c5cc5f9643cb811e53b8f478bec9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Sbrb9QbOb0msPgzxQ2HZNLlUWUV7QNtBqvCWvfDbMWdUMEg4MkJOR1c1TDRIR05PMVlKSTlTSVI0Ty4u" isFormConnected="1" maxResponseId="10" latestEventMarker="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r4e244cd9776e4f07a44123310c76d553</xlmsforms:syncedQuestionId>
        <xlmsforms:syncedQuestionId>r7862ed6d486f4f48865e55b526d69e7a</xlmsforms:syncedQuestionId>
        <xlmsforms:syncedQuestionId>r0348f0f3741d448a87bec9a492b7a5b5</xlmsforms:syncedQuestionId>
        <xlmsforms:syncedQuestionId>r901b1523abd34c2eb36b314bcfa98760</xlmsforms:syncedQuestionId>
        <xlmsforms:syncedQuestionId>r559ce574da484ed68a5052ee520b1447</xlmsforms:syncedQuestionId>
        <xlmsforms:syncedQuestionId>rcb6b1b1d288c4f8bacc0055e884c494a</xlmsforms:syncedQuestionId>
        <xlmsforms:syncedQuestionId>r9ee31e8e630d4f93921bd0315c84463f</xlmsforms:syncedQuestionId>
        <xlmsforms:syncedQuestionId>r2cc7b8ffabfc47ff99fc3127b5c39a75</xlmsforms:syncedQuestionId>
        <xlmsforms:syncedQuestionId>r3a4725bfbabc4f9d8cb5c93da8897cc9</xlmsforms:syncedQuestionId>
        <xlmsforms:syncedQuestionId>r8050acf0d78743a3aa6c1bc6993c9e88</xlmsforms:syncedQuestionId>
        <xlmsforms:syncedQuestionId>r609be6c6cf684f71a12e2b1eef2a438d</xlmsforms:syncedQuestionId>
        <xlmsforms:syncedQuestionId>re08d255baca642908fd85a8ae612ff07</xlmsforms:syncedQuestionId>
        <xlmsforms:syncedQuestionId>rea52be9f64e44a618f3e928a40b0dfc5</xlmsforms:syncedQuestionId>
        <xlmsforms:syncedQuestionId>re588420f45c74436a75f361a86dc8099</xlmsforms:syncedQuestionId>
        <xlmsforms:syncedQuestionId>r4bc9d6c7ad934da197c20a0956c80042</xlmsforms:syncedQuestionId>
        <xlmsforms:syncedQuestionId>rcf12eecb7dfe4d348d0fcc13b2adcb74</xlmsforms:syncedQuestionId>
        <xlmsforms:syncedQuestionId>r49d50450646a4754a71fba1db9f0ff42</xlmsforms:syncedQuestionId>
        <xlmsforms:syncedQuestionId>r70c2a9e942ad40aeb218fd4a25e7f13b</xlmsforms:syncedQuestionId>
        <xlmsforms:syncedQuestionId>r82c3d7a4ed3b4cd2860c2bbd6e4226fa</xlmsforms:syncedQuestionId>
        <xlmsforms:syncedQuestionId>r9a6b1f033f63429a93f3765641f5893c</xlmsforms:syncedQuestionId>
        <xlmsforms:syncedQuestionId>ra793f372b4d349c0b273ed2330476822</xlmsforms:syncedQuestionId>
        <xlmsforms:syncedQuestionId>r5b25c5cc5f9643cb811e53b8f478bec9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"/>
  <sheetViews>
    <sheetView workbookViewId="0">
      <selection activeCell="Z11" sqref="Z11"/>
    </sheetView>
  </sheetViews>
  <sheetFormatPr defaultRowHeight="15"/>
  <cols>
    <col min="1" max="27" width="20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 s="1">
        <v>46030.649548611109</v>
      </c>
      <c r="C2" s="1">
        <v>46030.655740740738</v>
      </c>
      <c r="D2" t="s">
        <v>27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29</v>
      </c>
      <c r="X2" t="s">
        <v>28</v>
      </c>
      <c r="Y2" t="s">
        <v>30</v>
      </c>
      <c r="Z2" t="s">
        <v>28</v>
      </c>
      <c r="AA2" t="s">
        <v>31</v>
      </c>
    </row>
    <row r="3" spans="1:27">
      <c r="A3">
        <v>2</v>
      </c>
      <c r="B3" s="1">
        <v>46030.665706018517</v>
      </c>
      <c r="C3" s="1">
        <v>46030.671296296299</v>
      </c>
      <c r="D3" t="s">
        <v>27</v>
      </c>
      <c r="F3" t="s">
        <v>32</v>
      </c>
      <c r="G3" t="s">
        <v>32</v>
      </c>
      <c r="H3" t="s">
        <v>33</v>
      </c>
      <c r="I3" t="s">
        <v>33</v>
      </c>
      <c r="J3" t="s">
        <v>32</v>
      </c>
      <c r="K3" t="s">
        <v>34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32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35</v>
      </c>
      <c r="X3" t="s">
        <v>33</v>
      </c>
      <c r="Y3" t="s">
        <v>36</v>
      </c>
      <c r="Z3" t="s">
        <v>33</v>
      </c>
      <c r="AA3" t="s">
        <v>37</v>
      </c>
    </row>
    <row r="4" spans="1:27">
      <c r="A4">
        <v>3</v>
      </c>
      <c r="B4" s="1">
        <v>46030.662569444445</v>
      </c>
      <c r="C4" s="1">
        <v>46030.672488425924</v>
      </c>
      <c r="D4" t="s">
        <v>27</v>
      </c>
      <c r="F4" t="s">
        <v>38</v>
      </c>
      <c r="G4" t="s">
        <v>34</v>
      </c>
      <c r="H4" t="s">
        <v>33</v>
      </c>
      <c r="I4" t="s">
        <v>34</v>
      </c>
      <c r="J4" t="s">
        <v>33</v>
      </c>
      <c r="K4" t="s">
        <v>33</v>
      </c>
      <c r="L4" t="s">
        <v>33</v>
      </c>
      <c r="M4" t="s">
        <v>33</v>
      </c>
      <c r="N4" t="s">
        <v>34</v>
      </c>
      <c r="O4" t="s">
        <v>33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38</v>
      </c>
      <c r="W4" t="s">
        <v>39</v>
      </c>
      <c r="X4" t="s">
        <v>28</v>
      </c>
      <c r="Y4" t="s">
        <v>40</v>
      </c>
      <c r="Z4" t="s">
        <v>38</v>
      </c>
      <c r="AA4" t="s">
        <v>41</v>
      </c>
    </row>
    <row r="5" spans="1:27">
      <c r="A5">
        <v>4</v>
      </c>
      <c r="B5" s="1">
        <v>46030.70517361111</v>
      </c>
      <c r="C5" s="1">
        <v>46030.70890046296</v>
      </c>
      <c r="D5" t="s">
        <v>27</v>
      </c>
      <c r="F5" t="s">
        <v>38</v>
      </c>
      <c r="G5" t="s">
        <v>28</v>
      </c>
      <c r="H5" t="s">
        <v>38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38</v>
      </c>
      <c r="O5" t="s">
        <v>28</v>
      </c>
      <c r="P5" t="s">
        <v>33</v>
      </c>
      <c r="Q5" t="s">
        <v>38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X5" t="s">
        <v>28</v>
      </c>
      <c r="Z5" t="s">
        <v>33</v>
      </c>
      <c r="AA5" t="s">
        <v>42</v>
      </c>
    </row>
    <row r="6" spans="1:27">
      <c r="A6">
        <v>5</v>
      </c>
      <c r="B6" s="1">
        <v>46030.735335648147</v>
      </c>
      <c r="C6" s="1">
        <v>46030.743287037039</v>
      </c>
      <c r="D6" t="s">
        <v>27</v>
      </c>
      <c r="F6" t="s">
        <v>34</v>
      </c>
      <c r="G6" t="s">
        <v>34</v>
      </c>
      <c r="H6" t="s">
        <v>33</v>
      </c>
      <c r="I6" t="s">
        <v>34</v>
      </c>
      <c r="J6" t="s">
        <v>32</v>
      </c>
      <c r="K6" t="s">
        <v>34</v>
      </c>
      <c r="L6" t="s">
        <v>33</v>
      </c>
      <c r="M6" t="s">
        <v>33</v>
      </c>
      <c r="N6" t="s">
        <v>34</v>
      </c>
      <c r="O6" t="s">
        <v>38</v>
      </c>
      <c r="P6" t="s">
        <v>33</v>
      </c>
      <c r="Q6" t="s">
        <v>34</v>
      </c>
      <c r="R6" t="s">
        <v>34</v>
      </c>
      <c r="S6" t="s">
        <v>33</v>
      </c>
      <c r="T6" t="s">
        <v>33</v>
      </c>
      <c r="U6" t="s">
        <v>33</v>
      </c>
      <c r="V6" t="s">
        <v>34</v>
      </c>
      <c r="W6" t="s">
        <v>43</v>
      </c>
      <c r="X6" t="s">
        <v>33</v>
      </c>
      <c r="Y6" t="s">
        <v>44</v>
      </c>
      <c r="Z6" t="s">
        <v>38</v>
      </c>
      <c r="AA6" t="s">
        <v>45</v>
      </c>
    </row>
    <row r="7" spans="1:27">
      <c r="A7">
        <v>6</v>
      </c>
      <c r="B7" s="1">
        <v>46030.780717592592</v>
      </c>
      <c r="C7" s="1">
        <v>46030.791805555556</v>
      </c>
      <c r="D7" t="s">
        <v>27</v>
      </c>
      <c r="F7" t="s">
        <v>33</v>
      </c>
      <c r="G7" t="s">
        <v>33</v>
      </c>
      <c r="H7" t="s">
        <v>28</v>
      </c>
      <c r="I7" t="s">
        <v>34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38</v>
      </c>
      <c r="P7" t="s">
        <v>33</v>
      </c>
      <c r="Q7" t="s">
        <v>33</v>
      </c>
      <c r="R7" t="s">
        <v>33</v>
      </c>
      <c r="S7" t="s">
        <v>34</v>
      </c>
      <c r="T7" t="s">
        <v>34</v>
      </c>
      <c r="U7" t="s">
        <v>33</v>
      </c>
      <c r="V7" t="s">
        <v>33</v>
      </c>
      <c r="W7" t="s">
        <v>46</v>
      </c>
      <c r="X7" t="s">
        <v>34</v>
      </c>
      <c r="Y7" t="s">
        <v>47</v>
      </c>
      <c r="Z7" t="s">
        <v>33</v>
      </c>
      <c r="AA7" t="s">
        <v>48</v>
      </c>
    </row>
    <row r="8" spans="1:27">
      <c r="A8" s="5">
        <v>7</v>
      </c>
      <c r="B8" s="1">
        <v>46030.890254629601</v>
      </c>
      <c r="C8" s="1">
        <v>46030.8971296296</v>
      </c>
      <c r="D8" s="6" t="s">
        <v>27</v>
      </c>
      <c r="E8" s="6"/>
      <c r="F8" s="6" t="s">
        <v>38</v>
      </c>
      <c r="G8" s="6" t="s">
        <v>28</v>
      </c>
      <c r="H8" s="6" t="s">
        <v>28</v>
      </c>
      <c r="I8" s="6" t="s">
        <v>38</v>
      </c>
      <c r="J8" s="6" t="s">
        <v>38</v>
      </c>
      <c r="K8" s="6" t="s">
        <v>38</v>
      </c>
      <c r="L8" s="6" t="s">
        <v>38</v>
      </c>
      <c r="M8" s="6" t="s">
        <v>38</v>
      </c>
      <c r="N8" s="6" t="s">
        <v>38</v>
      </c>
      <c r="O8" s="6" t="s">
        <v>28</v>
      </c>
      <c r="P8" s="6" t="s">
        <v>28</v>
      </c>
      <c r="Q8" s="6" t="s">
        <v>38</v>
      </c>
      <c r="R8" s="6" t="s">
        <v>38</v>
      </c>
      <c r="S8" s="6" t="s">
        <v>38</v>
      </c>
      <c r="T8" s="6" t="s">
        <v>28</v>
      </c>
      <c r="U8" s="6" t="s">
        <v>38</v>
      </c>
      <c r="V8" s="6" t="s">
        <v>28</v>
      </c>
      <c r="W8" s="6" t="s">
        <v>49</v>
      </c>
      <c r="X8" s="6" t="s">
        <v>28</v>
      </c>
      <c r="Y8" s="6" t="s">
        <v>50</v>
      </c>
      <c r="Z8" s="6" t="s">
        <v>38</v>
      </c>
      <c r="AA8" s="6" t="s">
        <v>51</v>
      </c>
    </row>
    <row r="9" spans="1:27">
      <c r="A9" s="5">
        <v>8</v>
      </c>
      <c r="B9" s="1">
        <v>46030.9077314815</v>
      </c>
      <c r="C9" s="1">
        <v>46030.913645833301</v>
      </c>
      <c r="D9" s="6" t="s">
        <v>27</v>
      </c>
      <c r="E9" s="6"/>
      <c r="F9" s="6" t="s">
        <v>34</v>
      </c>
      <c r="G9" s="6" t="s">
        <v>34</v>
      </c>
      <c r="H9" s="6" t="s">
        <v>33</v>
      </c>
      <c r="I9" s="6" t="s">
        <v>34</v>
      </c>
      <c r="J9" s="6" t="s">
        <v>34</v>
      </c>
      <c r="K9" s="6" t="s">
        <v>34</v>
      </c>
      <c r="L9" s="6" t="s">
        <v>34</v>
      </c>
      <c r="M9" s="6" t="s">
        <v>34</v>
      </c>
      <c r="N9" s="6" t="s">
        <v>34</v>
      </c>
      <c r="O9" s="6" t="s">
        <v>33</v>
      </c>
      <c r="P9" s="6" t="s">
        <v>34</v>
      </c>
      <c r="Q9" s="6" t="s">
        <v>34</v>
      </c>
      <c r="R9" s="6" t="s">
        <v>34</v>
      </c>
      <c r="S9" s="6" t="s">
        <v>34</v>
      </c>
      <c r="T9" s="6" t="s">
        <v>34</v>
      </c>
      <c r="U9" s="6" t="s">
        <v>34</v>
      </c>
      <c r="V9" s="6" t="s">
        <v>33</v>
      </c>
      <c r="W9" s="6" t="s">
        <v>52</v>
      </c>
      <c r="X9" s="6" t="s">
        <v>34</v>
      </c>
      <c r="Y9" s="6" t="s">
        <v>53</v>
      </c>
      <c r="Z9" s="6" t="s">
        <v>33</v>
      </c>
      <c r="AA9" s="6" t="s">
        <v>54</v>
      </c>
    </row>
    <row r="10" spans="1:27">
      <c r="A10" s="5">
        <v>9</v>
      </c>
      <c r="B10" s="1">
        <v>46030.920532407399</v>
      </c>
      <c r="C10" s="1">
        <v>46030.924849536997</v>
      </c>
      <c r="D10" s="6" t="s">
        <v>27</v>
      </c>
      <c r="E10" s="6"/>
      <c r="F10" s="6" t="s">
        <v>38</v>
      </c>
      <c r="G10" s="6" t="s">
        <v>33</v>
      </c>
      <c r="H10" s="6" t="s">
        <v>33</v>
      </c>
      <c r="I10" s="6" t="s">
        <v>34</v>
      </c>
      <c r="J10" s="6" t="s">
        <v>34</v>
      </c>
      <c r="K10" s="6" t="s">
        <v>38</v>
      </c>
      <c r="L10" s="6" t="s">
        <v>34</v>
      </c>
      <c r="M10" s="6" t="s">
        <v>33</v>
      </c>
      <c r="N10" s="6" t="s">
        <v>33</v>
      </c>
      <c r="O10" s="6" t="s">
        <v>38</v>
      </c>
      <c r="P10" s="6" t="s">
        <v>38</v>
      </c>
      <c r="Q10" s="6" t="s">
        <v>33</v>
      </c>
      <c r="R10" s="6" t="s">
        <v>38</v>
      </c>
      <c r="S10" s="6" t="s">
        <v>33</v>
      </c>
      <c r="T10" s="6" t="s">
        <v>33</v>
      </c>
      <c r="U10" s="6" t="s">
        <v>33</v>
      </c>
      <c r="V10" s="6" t="s">
        <v>34</v>
      </c>
      <c r="W10" s="6" t="s">
        <v>55</v>
      </c>
      <c r="X10" s="6" t="s">
        <v>34</v>
      </c>
      <c r="Y10" s="6" t="s">
        <v>56</v>
      </c>
      <c r="Z10" s="6" t="s">
        <v>34</v>
      </c>
      <c r="AA10" s="6" t="s">
        <v>57</v>
      </c>
    </row>
    <row r="11" spans="1:27">
      <c r="A11" s="5">
        <v>10</v>
      </c>
      <c r="B11" s="1">
        <v>46030.9218287037</v>
      </c>
      <c r="C11" s="1">
        <v>46030.9281134259</v>
      </c>
      <c r="D11" s="6" t="s">
        <v>27</v>
      </c>
      <c r="E11" s="6"/>
      <c r="F11" s="6" t="s">
        <v>34</v>
      </c>
      <c r="G11" s="6" t="s">
        <v>32</v>
      </c>
      <c r="H11" s="6" t="s">
        <v>34</v>
      </c>
      <c r="I11" s="6" t="s">
        <v>32</v>
      </c>
      <c r="J11" s="6" t="s">
        <v>34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34</v>
      </c>
      <c r="R11" s="6" t="s">
        <v>34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58</v>
      </c>
      <c r="X11" s="6" t="s">
        <v>34</v>
      </c>
      <c r="Y11" s="6" t="s">
        <v>59</v>
      </c>
      <c r="Z11" s="6" t="s">
        <v>34</v>
      </c>
      <c r="AA11" s="6" t="s">
        <v>60</v>
      </c>
    </row>
    <row r="12" spans="1:27">
      <c r="A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>
      <c r="F13" s="6"/>
    </row>
    <row r="14" spans="1:27">
      <c r="F14" s="6"/>
    </row>
    <row r="15" spans="1:27">
      <c r="F15" s="6"/>
    </row>
    <row r="16" spans="1:27">
      <c r="F16" s="6"/>
    </row>
    <row r="20" spans="1:1">
      <c r="A20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BA97-2548-4AD6-9CD1-DA7A400AC96D}">
  <dimension ref="A1:Y27"/>
  <sheetViews>
    <sheetView tabSelected="1" topLeftCell="B1" workbookViewId="0">
      <selection activeCell="L23" sqref="L23"/>
    </sheetView>
  </sheetViews>
  <sheetFormatPr defaultRowHeight="15"/>
  <cols>
    <col min="1" max="1" width="9.140625" bestFit="1" customWidth="1"/>
    <col min="2" max="2" width="57.28515625" customWidth="1"/>
    <col min="3" max="8" width="9.140625" bestFit="1" customWidth="1"/>
    <col min="9" max="9" width="10.42578125" bestFit="1" customWidth="1"/>
    <col min="10" max="11" width="9.140625" bestFit="1" customWidth="1"/>
    <col min="12" max="12" width="10.42578125" bestFit="1" customWidth="1"/>
    <col min="13" max="24" width="9.140625" bestFit="1" customWidth="1"/>
  </cols>
  <sheetData>
    <row r="1" spans="1:25">
      <c r="C1" t="str">
        <f>OfficeForms.Table[[#Headers],[Imagine a relative or a friend you see often.The exact contours of face, head, shoulders and body.]]</f>
        <v>Imagine a relative or a friend you see often.The exact contours of face, head, shoulders and body.</v>
      </c>
      <c r="D1" t="str">
        <f>OfficeForms.Table[[#Headers],[Imagine a relative or a friend you see often.Characteristic poses of head, attitudes of body, etc.]]</f>
        <v>Imagine a relative or a friend you see often.Characteristic poses of head, attitudes of body, etc.</v>
      </c>
      <c r="E1" t="str">
        <f>OfficeForms.Table[[#Headers],[Imagine a relative or a friend you see often.The precise carriage, length of step, etc., in walking.]]</f>
        <v>Imagine a relative or a friend you see often.The precise carriage, length of step, etc., in walking.</v>
      </c>
      <c r="F1" t="str">
        <f>OfficeForms.Table[[#Headers],[Imagine a relative or a friend you see often.The different colors of some familiar clothes.]]</f>
        <v>Imagine a relative or a friend you see often.The different colors of some familiar clothes.</v>
      </c>
      <c r="G1" t="str">
        <f>OfficeForms.Table[[#Headers],[Visualize a rising sun.The sun rising above the horizon into a hazy sky.]]</f>
        <v>Visualize a rising sun.The sun rising above the horizon into a hazy sky.</v>
      </c>
      <c r="H1" t="str">
        <f>OfficeForms.Table[[#Headers],[Visualize a rising sun.The sky clears and surrounds the sun with blueness.]]</f>
        <v>Visualize a rising sun.The sky clears and surrounds the sun with blueness.</v>
      </c>
      <c r="I1" t="str">
        <f>OfficeForms.Table[[#Headers],[Visualize a rising sun.Clouds: a storm blows up with flashes of lightning.]]</f>
        <v>Visualize a rising sun.Clouds: a storm blows up with flashes of lightning.</v>
      </c>
      <c r="J1" t="str">
        <f>OfficeForms.Table[[#Headers],[Visualize a rising sun.A rainbow appears.]]</f>
        <v>Visualize a rising sun.A rainbow appears.</v>
      </c>
      <c r="K1" t="str">
        <f>OfficeForms.Table[[#Headers],[Imagine the front of a familiar shop.The overall appearance of the shop from the opposite side of the road.]]</f>
        <v>Imagine the front of a familiar shop.The overall appearance of the shop from the opposite side of the road.</v>
      </c>
      <c r="L1" t="str">
        <f>OfficeForms.Table[[#Headers],[Imagine the front of a familiar shop.A window display including colors, shapes and details of individual items.]]</f>
        <v>Imagine the front of a familiar shop.A window display including colors, shapes and details of individual items.</v>
      </c>
      <c r="M1" t="str">
        <f>OfficeForms.Table[[#Headers],[Imagine the front of a familiar shop.You are near the entrance: the color, shape and details of the door.]]</f>
        <v>Imagine the front of a familiar shop.You are near the entrance: the color, shape and details of the door.</v>
      </c>
      <c r="N1" t="str">
        <f>OfficeForms.Table[[#Headers],[Imagine the front of a familiar shop.Inside at the counter: the assistant serves you and money changes hands.]]</f>
        <v>Imagine the front of a familiar shop.Inside at the counter: the assistant serves you and money changes hands.</v>
      </c>
      <c r="O1" t="str">
        <f>OfficeForms.Table[[#Headers],[Visualize a country scene.The contours of the landscape (trees, mountains, lake).]]</f>
        <v>Visualize a country scene.The contours of the landscape (trees, mountains, lake).</v>
      </c>
      <c r="P1" t="str">
        <f>OfficeForms.Table[[#Headers],[Visualize a country scene.The color and shape of the trees.]]</f>
        <v>Visualize a country scene.The color and shape of the trees.</v>
      </c>
      <c r="Q1" t="str">
        <f>OfficeForms.Table[[#Headers],[Visualize a country scene.The color and shape of the lake.]]</f>
        <v>Visualize a country scene.The color and shape of the lake.</v>
      </c>
      <c r="R1" t="str">
        <f>OfficeForms.Table[[#Headers],[Visualize a country scene.A strong wind blows on the trees and lake, causing waves.]]</f>
        <v>Visualize a country scene.A strong wind blows on the trees and lake, causing waves.</v>
      </c>
      <c r="S1" t="str">
        <f>OfficeForms.Table[[#Headers],[Imagination vividness while listening to music.Audio_1]]</f>
        <v>Imagination vividness while listening to music.Audio_1</v>
      </c>
      <c r="T1" t="str">
        <f>OfficeForms.Table[[#Headers],[(Optional) What did you imagine while listening Audio_1?]]</f>
        <v>(Optional) What did you imagine while listening Audio_1?</v>
      </c>
      <c r="U1" t="str">
        <f>OfficeForms.Table[[#Headers],[Imagination vividness while listening to music.Audio_2]]</f>
        <v>Imagination vividness while listening to music.Audio_2</v>
      </c>
      <c r="V1" t="str">
        <f>OfficeForms.Table[[#Headers],[(Optional) What did you imagine while listening Audio_2?]]</f>
        <v>(Optional) What did you imagine while listening Audio_2?</v>
      </c>
      <c r="W1" t="str">
        <f>OfficeForms.Table[[#Headers],[Imagination vividness while listening to music.Audio_3]]</f>
        <v>Imagination vividness while listening to music.Audio_3</v>
      </c>
      <c r="X1" t="str">
        <f>OfficeForms.Table[[#Headers],[(Optional) What did you imagine while listening Audio_3?]]</f>
        <v>(Optional) What did you imagine while listening Audio_3?</v>
      </c>
    </row>
    <row r="2" spans="1:25">
      <c r="A2">
        <v>0</v>
      </c>
      <c r="B2" t="s">
        <v>28</v>
      </c>
      <c r="C2">
        <f>COUNTIFS(OfficeForms.Table[Imagine a relative or a friend you see often.The exact contours of face, head, shoulders and body.], "*" &amp; $B2&amp; "*")</f>
        <v>1</v>
      </c>
      <c r="D2">
        <f>COUNTIFS(OfficeForms.Table[Imagine a relative or a friend you see often.Characteristic poses of head, attitudes of body, etc.], "*" &amp; $B2&amp; "*")</f>
        <v>3</v>
      </c>
      <c r="E2">
        <f>COUNTIFS(OfficeForms.Table[Imagine a relative or a friend you see often.The precise carriage, length of step, etc., in walking.], "*" &amp; $B2&amp; "*")</f>
        <v>3</v>
      </c>
      <c r="F2">
        <f>COUNTIFS(OfficeForms.Table[Imagine a relative or a friend you see often.The different colors of some familiar clothes.], "*" &amp; $B2&amp; "*")</f>
        <v>2</v>
      </c>
      <c r="G2">
        <f>COUNTIFS(OfficeForms.Table[Visualize a rising sun.The sun rising above the horizon into a hazy sky.], "*" &amp; $B2&amp; "*")</f>
        <v>2</v>
      </c>
      <c r="H2">
        <f>COUNTIFS(OfficeForms.Table[Visualize a rising sun.The sky clears and surrounds the sun with blueness.], "*" &amp; $B2&amp; "*")</f>
        <v>2</v>
      </c>
      <c r="I2">
        <f>COUNTIFS(OfficeForms.Table[Visualize a rising sun.Clouds: a storm blows up with flashes of lightning.], "*" &amp; $B2&amp; "*")</f>
        <v>2</v>
      </c>
      <c r="J2">
        <f>COUNTIFS(OfficeForms.Table[Visualize a rising sun.A rainbow appears.], "*" &amp; $B2&amp; "*")</f>
        <v>2</v>
      </c>
      <c r="K2">
        <f>COUNTIFS(OfficeForms.Table[Imagine the front of a familiar shop.The overall appearance of the shop from the opposite side of the road.], "*" &amp; $B2&amp; "*")</f>
        <v>1</v>
      </c>
      <c r="L2">
        <f>COUNTIFS(OfficeForms.Table[Imagine the front of a familiar shop.A window display including colors, shapes and details of individual items.], "*" &amp; $B2&amp; "*")</f>
        <v>3</v>
      </c>
      <c r="M2">
        <f>COUNTIFS(OfficeForms.Table[Imagine the front of a familiar shop.You are near the entrance: the color, shape and details of the door.], "*" &amp; $B2&amp; "*")</f>
        <v>2</v>
      </c>
      <c r="N2">
        <f>COUNTIFS(OfficeForms.Table[Imagine the front of a familiar shop.Inside at the counter: the assistant serves you and money changes hands.], "*" &amp; $B2&amp; "*")</f>
        <v>1</v>
      </c>
      <c r="O2">
        <f>COUNTIFS(OfficeForms.Table[Visualize a country scene.The contours of the landscape (trees, mountains, lake).], "*" &amp; $B2&amp; "*")</f>
        <v>2</v>
      </c>
      <c r="P2">
        <f>COUNTIFS(OfficeForms.Table[Visualize a country scene.The color and shape of the trees.], "*" &amp; $B2&amp; "*")</f>
        <v>2</v>
      </c>
      <c r="Q2">
        <f>COUNTIFS(OfficeForms.Table[Visualize a country scene.The color and shape of the lake.], "*" &amp; $B2&amp; "*")</f>
        <v>3</v>
      </c>
      <c r="R2">
        <f>COUNTIFS(OfficeForms.Table[Visualize a country scene.A strong wind blows on the trees and lake, causing waves.], "*" &amp; $B2&amp; "*")</f>
        <v>2</v>
      </c>
      <c r="S2">
        <f>COUNTIFS(OfficeForms.Table[Imagination vividness while listening to music.Audio_1], "*" &amp; $B2&amp; "*")</f>
        <v>3</v>
      </c>
      <c r="U2">
        <f>COUNTIFS(OfficeForms.Table[Imagination vividness while listening to music.Audio_2], "*" &amp; $B2&amp; "*")</f>
        <v>4</v>
      </c>
      <c r="W2">
        <f>COUNTIFS(OfficeForms.Table[Imagination vividness while listening to music.Audio_3], "*" &amp; $B2&amp; "*")</f>
        <v>1</v>
      </c>
    </row>
    <row r="3" spans="1:25">
      <c r="A3">
        <v>1</v>
      </c>
      <c r="B3" t="s">
        <v>38</v>
      </c>
      <c r="C3">
        <f>COUNTIFS(OfficeForms.Table[Imagine a relative or a friend you see often.The exact contours of face, head, shoulders and body.], "*" &amp; $B3&amp; "*")</f>
        <v>4</v>
      </c>
      <c r="D3">
        <f>COUNTIFS(OfficeForms.Table[Imagine a relative or a friend you see often.Characteristic poses of head, attitudes of body, etc.], "*" &amp; $B3&amp; "*")</f>
        <v>0</v>
      </c>
      <c r="E3">
        <f>COUNTIFS(OfficeForms.Table[Imagine a relative or a friend you see often.The precise carriage, length of step, etc., in walking.], "*" &amp; $B3&amp; "*")</f>
        <v>1</v>
      </c>
      <c r="F3">
        <f>COUNTIFS(OfficeForms.Table[Imagine a relative or a friend you see often.The different colors of some familiar clothes.], "*" &amp; $B3&amp; "*")</f>
        <v>1</v>
      </c>
      <c r="G3">
        <f>COUNTIFS(OfficeForms.Table[Visualize a rising sun.The sun rising above the horizon into a hazy sky.], "*" &amp; $B3&amp; "*")</f>
        <v>1</v>
      </c>
      <c r="H3">
        <f>COUNTIFS(OfficeForms.Table[Visualize a rising sun.The sky clears and surrounds the sun with blueness.], "*" &amp; $B3&amp; "*")</f>
        <v>2</v>
      </c>
      <c r="I3">
        <f>COUNTIFS(OfficeForms.Table[Visualize a rising sun.Clouds: a storm blows up with flashes of lightning.], "*" &amp; $B3&amp; "*")</f>
        <v>1</v>
      </c>
      <c r="J3">
        <f>COUNTIFS(OfficeForms.Table[Visualize a rising sun.A rainbow appears.], "*" &amp; $B3&amp; "*")</f>
        <v>1</v>
      </c>
      <c r="K3">
        <f>COUNTIFS(OfficeForms.Table[Imagine the front of a familiar shop.The overall appearance of the shop from the opposite side of the road.], "*" &amp; $B3&amp; "*")</f>
        <v>2</v>
      </c>
      <c r="L3">
        <f>COUNTIFS(OfficeForms.Table[Imagine the front of a familiar shop.A window display including colors, shapes and details of individual items.], "*" &amp; $B3&amp; "*")</f>
        <v>3</v>
      </c>
      <c r="M3">
        <f>COUNTIFS(OfficeForms.Table[Imagine the front of a familiar shop.You are near the entrance: the color, shape and details of the door.], "*" &amp; $B3&amp; "*")</f>
        <v>1</v>
      </c>
      <c r="N3">
        <f>COUNTIFS(OfficeForms.Table[Imagine the front of a familiar shop.Inside at the counter: the assistant serves you and money changes hands.], "*" &amp; $B3&amp; "*")</f>
        <v>2</v>
      </c>
      <c r="O3">
        <f>COUNTIFS(OfficeForms.Table[Visualize a country scene.The contours of the landscape (trees, mountains, lake).], "*" &amp; $B3&amp; "*")</f>
        <v>2</v>
      </c>
      <c r="P3">
        <f>COUNTIFS(OfficeForms.Table[Visualize a country scene.The color and shape of the trees.], "*" &amp; $B3&amp; "*")</f>
        <v>1</v>
      </c>
      <c r="Q3">
        <f>COUNTIFS(OfficeForms.Table[Visualize a country scene.The color and shape of the lake.], "*" &amp; $B3&amp; "*")</f>
        <v>0</v>
      </c>
      <c r="R3">
        <f>COUNTIFS(OfficeForms.Table[Visualize a country scene.A strong wind blows on the trees and lake, causing waves.], "*" &amp; $B3&amp; "*")</f>
        <v>1</v>
      </c>
      <c r="S3">
        <f>COUNTIFS(OfficeForms.Table[Imagination vividness while listening to music.Audio_1], "*" &amp; $B3&amp; "*")</f>
        <v>1</v>
      </c>
      <c r="U3">
        <f>COUNTIFS(OfficeForms.Table[Imagination vividness while listening to music.Audio_2], "*" &amp; $B3&amp; "*")</f>
        <v>0</v>
      </c>
      <c r="W3">
        <f>COUNTIFS(OfficeForms.Table[Imagination vividness while listening to music.Audio_3], "*" &amp; $B3&amp; "*")</f>
        <v>3</v>
      </c>
      <c r="Y3" s="7"/>
    </row>
    <row r="4" spans="1:25">
      <c r="A4">
        <v>2</v>
      </c>
      <c r="B4" t="s">
        <v>33</v>
      </c>
      <c r="C4">
        <f>COUNTIFS(OfficeForms.Table[Imagine a relative or a friend you see often.The exact contours of face, head, shoulders and body.], "*" &amp; $B4&amp; "*")</f>
        <v>1</v>
      </c>
      <c r="D4">
        <f>COUNTIFS(OfficeForms.Table[Imagine a relative or a friend you see often.Characteristic poses of head, attitudes of body, etc.], "*" &amp; $B4&amp; "*")</f>
        <v>2</v>
      </c>
      <c r="E4">
        <f>COUNTIFS(OfficeForms.Table[Imagine a relative or a friend you see often.The precise carriage, length of step, etc., in walking.], "*" &amp; $B4&amp; "*")</f>
        <v>5</v>
      </c>
      <c r="F4">
        <f>COUNTIFS(OfficeForms.Table[Imagine a relative or a friend you see often.The different colors of some familiar clothes.], "*" &amp; $B4&amp; "*")</f>
        <v>1</v>
      </c>
      <c r="G4">
        <f>COUNTIFS(OfficeForms.Table[Visualize a rising sun.The sun rising above the horizon into a hazy sky.], "*" &amp; $B4&amp; "*")</f>
        <v>2</v>
      </c>
      <c r="H4">
        <f>COUNTIFS(OfficeForms.Table[Visualize a rising sun.The sky clears and surrounds the sun with blueness.], "*" &amp; $B4&amp; "*")</f>
        <v>2</v>
      </c>
      <c r="I4">
        <f>COUNTIFS(OfficeForms.Table[Visualize a rising sun.Clouds: a storm blows up with flashes of lightning.], "*" &amp; $B4&amp; "*")</f>
        <v>4</v>
      </c>
      <c r="J4">
        <f>COUNTIFS(OfficeForms.Table[Visualize a rising sun.A rainbow appears.], "*" &amp; $B4&amp; "*")</f>
        <v>5</v>
      </c>
      <c r="K4">
        <f>COUNTIFS(OfficeForms.Table[Imagine the front of a familiar shop.The overall appearance of the shop from the opposite side of the road.], "*" &amp; $B4&amp; "*")</f>
        <v>3</v>
      </c>
      <c r="L4">
        <f>COUNTIFS(OfficeForms.Table[Imagine the front of a familiar shop.A window display including colors, shapes and details of individual items.], "*" &amp; $B4&amp; "*")</f>
        <v>3</v>
      </c>
      <c r="M4">
        <f>COUNTIFS(OfficeForms.Table[Imagine the front of a familiar shop.You are near the entrance: the color, shape and details of the door.], "*" &amp; $B4&amp; "*")</f>
        <v>4</v>
      </c>
      <c r="N4">
        <f>COUNTIFS(OfficeForms.Table[Imagine the front of a familiar shop.Inside at the counter: the assistant serves you and money changes hands.], "*" &amp; $B4&amp; "*")</f>
        <v>2</v>
      </c>
      <c r="O4">
        <f>COUNTIFS(OfficeForms.Table[Visualize a country scene.The contours of the landscape (trees, mountains, lake).], "*" &amp; $B4&amp; "*")</f>
        <v>2</v>
      </c>
      <c r="P4">
        <f>COUNTIFS(OfficeForms.Table[Visualize a country scene.The color and shape of the trees.], "*" &amp; $B4&amp; "*")</f>
        <v>3</v>
      </c>
      <c r="Q4">
        <f>COUNTIFS(OfficeForms.Table[Visualize a country scene.The color and shape of the lake.], "*" &amp; $B4&amp; "*")</f>
        <v>3</v>
      </c>
      <c r="R4">
        <f>COUNTIFS(OfficeForms.Table[Visualize a country scene.A strong wind blows on the trees and lake, causing waves.], "*" &amp; $B4&amp; "*")</f>
        <v>4</v>
      </c>
      <c r="S4">
        <f>COUNTIFS(OfficeForms.Table[Imagination vividness while listening to music.Audio_1], "*" &amp; $B4&amp; "*")</f>
        <v>3</v>
      </c>
      <c r="U4">
        <f>COUNTIFS(OfficeForms.Table[Imagination vividness while listening to music.Audio_2], "*" &amp; $B4&amp; "*")</f>
        <v>2</v>
      </c>
      <c r="W4">
        <f>COUNTIFS(OfficeForms.Table[Imagination vividness while listening to music.Audio_3], "*" &amp; $B4&amp; "*")</f>
        <v>4</v>
      </c>
      <c r="Y4" s="7"/>
    </row>
    <row r="5" spans="1:25">
      <c r="A5">
        <v>3</v>
      </c>
      <c r="B5" t="s">
        <v>34</v>
      </c>
      <c r="C5">
        <f>COUNTIFS(OfficeForms.Table[Imagine a relative or a friend you see often.The exact contours of face, head, shoulders and body.], "*" &amp; $B5&amp; "*")</f>
        <v>3</v>
      </c>
      <c r="D5">
        <f>COUNTIFS(OfficeForms.Table[Imagine a relative or a friend you see often.Characteristic poses of head, attitudes of body, etc.], "*" &amp; $B5&amp; "*")</f>
        <v>3</v>
      </c>
      <c r="E5">
        <f>COUNTIFS(OfficeForms.Table[Imagine a relative or a friend you see often.The precise carriage, length of step, etc., in walking.], "*" &amp; $B5&amp; "*")</f>
        <v>1</v>
      </c>
      <c r="F5">
        <f>COUNTIFS(OfficeForms.Table[Imagine a relative or a friend you see often.The different colors of some familiar clothes.], "*" &amp; $B5&amp; "*")</f>
        <v>5</v>
      </c>
      <c r="G5">
        <f>COUNTIFS(OfficeForms.Table[Visualize a rising sun.The sun rising above the horizon into a hazy sky.], "*" &amp; $B5&amp; "*")</f>
        <v>3</v>
      </c>
      <c r="H5">
        <f>COUNTIFS(OfficeForms.Table[Visualize a rising sun.The sky clears and surrounds the sun with blueness.], "*" &amp; $B5&amp; "*")</f>
        <v>3</v>
      </c>
      <c r="I5">
        <f>COUNTIFS(OfficeForms.Table[Visualize a rising sun.Clouds: a storm blows up with flashes of lightning.], "*" &amp; $B5&amp; "*")</f>
        <v>2</v>
      </c>
      <c r="J5">
        <f>COUNTIFS(OfficeForms.Table[Visualize a rising sun.A rainbow appears.], "*" &amp; $B5&amp; "*")</f>
        <v>1</v>
      </c>
      <c r="K5">
        <f>COUNTIFS(OfficeForms.Table[Imagine the front of a familiar shop.The overall appearance of the shop from the opposite side of the road.], "*" &amp; $B5&amp; "*")</f>
        <v>3</v>
      </c>
      <c r="L5">
        <f>COUNTIFS(OfficeForms.Table[Imagine the front of a familiar shop.A window display including colors, shapes and details of individual items.], "*" &amp; $B5&amp; "*")</f>
        <v>0</v>
      </c>
      <c r="M5">
        <f>COUNTIFS(OfficeForms.Table[Imagine the front of a familiar shop.You are near the entrance: the color, shape and details of the door.], "*" &amp; $B5&amp; "*")</f>
        <v>2</v>
      </c>
      <c r="N5">
        <f>COUNTIFS(OfficeForms.Table[Imagine the front of a familiar shop.Inside at the counter: the assistant serves you and money changes hands.], "*" &amp; $B5&amp; "*")</f>
        <v>4</v>
      </c>
      <c r="O5">
        <f>COUNTIFS(OfficeForms.Table[Visualize a country scene.The contours of the landscape (trees, mountains, lake).], "*" &amp; $B5&amp; "*")</f>
        <v>4</v>
      </c>
      <c r="P5">
        <f>COUNTIFS(OfficeForms.Table[Visualize a country scene.The color and shape of the trees.], "*" &amp; $B5&amp; "*")</f>
        <v>3</v>
      </c>
      <c r="Q5">
        <f>COUNTIFS(OfficeForms.Table[Visualize a country scene.The color and shape of the lake.], "*" &amp; $B5&amp; "*")</f>
        <v>3</v>
      </c>
      <c r="R5">
        <f>COUNTIFS(OfficeForms.Table[Visualize a country scene.A strong wind blows on the trees and lake, causing waves.], "*" &amp; $B5&amp; "*")</f>
        <v>2</v>
      </c>
      <c r="S5">
        <f>COUNTIFS(OfficeForms.Table[Imagination vividness while listening to music.Audio_1], "*" &amp; $B5&amp; "*")</f>
        <v>2</v>
      </c>
      <c r="U5">
        <f>COUNTIFS(OfficeForms.Table[Imagination vividness while listening to music.Audio_2], "*" &amp; $B5&amp; "*")</f>
        <v>4</v>
      </c>
      <c r="W5">
        <f>COUNTIFS(OfficeForms.Table[Imagination vividness while listening to music.Audio_3], "*" &amp; $B5&amp; "*")</f>
        <v>2</v>
      </c>
      <c r="Y5" s="7"/>
    </row>
    <row r="6" spans="1:25">
      <c r="A6">
        <v>4</v>
      </c>
      <c r="B6" t="s">
        <v>32</v>
      </c>
      <c r="C6">
        <f>COUNTIFS(OfficeForms.Table[Imagine a relative or a friend you see often.The exact contours of face, head, shoulders and body.], "*" &amp; $B6&amp; "*")</f>
        <v>1</v>
      </c>
      <c r="D6">
        <f>COUNTIFS(OfficeForms.Table[Imagine a relative or a friend you see often.Characteristic poses of head, attitudes of body, etc.], "*" &amp; $B6&amp; "*")</f>
        <v>2</v>
      </c>
      <c r="E6">
        <f>COUNTIFS(OfficeForms.Table[Imagine a relative or a friend you see often.The precise carriage, length of step, etc., in walking.], "*" &amp; $B6&amp; "*")</f>
        <v>0</v>
      </c>
      <c r="F6">
        <f>COUNTIFS(OfficeForms.Table[Imagine a relative or a friend you see often.The different colors of some familiar clothes.], "*" &amp; $B6&amp; "*")</f>
        <v>1</v>
      </c>
      <c r="G6">
        <f>COUNTIFS(OfficeForms.Table[Visualize a rising sun.The sun rising above the horizon into a hazy sky.], "*" &amp; $B6&amp; "*")</f>
        <v>2</v>
      </c>
      <c r="H6">
        <f>COUNTIFS(OfficeForms.Table[Visualize a rising sun.The sky clears and surrounds the sun with blueness.], "*" &amp; $B6&amp; "*")</f>
        <v>1</v>
      </c>
      <c r="I6">
        <f>COUNTIFS(OfficeForms.Table[Visualize a rising sun.Clouds: a storm blows up with flashes of lightning.], "*" &amp; $B6&amp; "*")</f>
        <v>1</v>
      </c>
      <c r="J6">
        <f>COUNTIFS(OfficeForms.Table[Visualize a rising sun.A rainbow appears.], "*" &amp; $B6&amp; "*")</f>
        <v>1</v>
      </c>
      <c r="K6">
        <f>COUNTIFS(OfficeForms.Table[Imagine the front of a familiar shop.The overall appearance of the shop from the opposite side of the road.], "*" &amp; $B6&amp; "*")</f>
        <v>1</v>
      </c>
      <c r="L6">
        <f>COUNTIFS(OfficeForms.Table[Imagine the front of a familiar shop.A window display including colors, shapes and details of individual items.], "*" &amp; $B6&amp; "*")</f>
        <v>1</v>
      </c>
      <c r="M6">
        <f>COUNTIFS(OfficeForms.Table[Imagine the front of a familiar shop.You are near the entrance: the color, shape and details of the door.], "*" &amp; $B6&amp; "*")</f>
        <v>1</v>
      </c>
      <c r="N6">
        <f>COUNTIFS(OfficeForms.Table[Imagine the front of a familiar shop.Inside at the counter: the assistant serves you and money changes hands.], "*" &amp; $B6&amp; "*")</f>
        <v>1</v>
      </c>
      <c r="O6">
        <f>COUNTIFS(OfficeForms.Table[Visualize a country scene.The contours of the landscape (trees, mountains, lake).], "*" &amp; $B6&amp; "*")</f>
        <v>0</v>
      </c>
      <c r="P6">
        <f>COUNTIFS(OfficeForms.Table[Visualize a country scene.The color and shape of the trees.], "*" &amp; $B6&amp; "*")</f>
        <v>1</v>
      </c>
      <c r="Q6">
        <f>COUNTIFS(OfficeForms.Table[Visualize a country scene.The color and shape of the lake.], "*" &amp; $B6&amp; "*")</f>
        <v>1</v>
      </c>
      <c r="R6">
        <f>COUNTIFS(OfficeForms.Table[Visualize a country scene.A strong wind blows on the trees and lake, causing waves.], "*" &amp; $B6&amp; "*")</f>
        <v>1</v>
      </c>
      <c r="S6">
        <f>COUNTIFS(OfficeForms.Table[Imagination vividness while listening to music.Audio_1], "*" &amp; $B6&amp; "*")</f>
        <v>1</v>
      </c>
      <c r="U6">
        <f>COUNTIFS(OfficeForms.Table[Imagination vividness while listening to music.Audio_2], "*" &amp; $B6&amp; "*")</f>
        <v>0</v>
      </c>
      <c r="W6">
        <f>COUNTIFS(OfficeForms.Table[Imagination vividness while listening to music.Audio_3], "*" &amp; $B6&amp; "*")</f>
        <v>0</v>
      </c>
      <c r="Y6" s="7"/>
    </row>
    <row r="7" spans="1:25">
      <c r="A7" t="s">
        <v>61</v>
      </c>
      <c r="B7" t="s">
        <v>62</v>
      </c>
      <c r="C7">
        <f>SUMPRODUCT($A$2:$A$6, C$2:C$6)</f>
        <v>19</v>
      </c>
      <c r="D7">
        <f>SUMPRODUCT($A$2:$A$6, D$2:D$6)</f>
        <v>21</v>
      </c>
      <c r="E7">
        <f>SUMPRODUCT($A$2:$A$6, E$2:E$6)</f>
        <v>14</v>
      </c>
      <c r="F7">
        <f>SUMPRODUCT($A$2:$A$6, F$2:F$6)</f>
        <v>22</v>
      </c>
      <c r="G7">
        <f>SUMPRODUCT($A$2:$A$6, G$2:G$6)</f>
        <v>22</v>
      </c>
      <c r="H7">
        <f>SUMPRODUCT($A$2:$A$6, H$2:H$6)</f>
        <v>19</v>
      </c>
      <c r="I7">
        <f>SUMPRODUCT($A$2:$A$6, I$2:I$6)</f>
        <v>19</v>
      </c>
      <c r="J7">
        <f>SUMPRODUCT($A$2:$A$6, J$2:J$6)</f>
        <v>18</v>
      </c>
      <c r="K7">
        <f>SUMPRODUCT($A$2:$A$6, K$2:K$6)</f>
        <v>21</v>
      </c>
      <c r="L7">
        <f>SUMPRODUCT($A$2:$A$6, L$2:L$6)</f>
        <v>13</v>
      </c>
      <c r="M7">
        <f>SUMPRODUCT($A$2:$A$6, M$2:M$6)</f>
        <v>19</v>
      </c>
      <c r="N7">
        <f>SUMPRODUCT($A$2:$A$6, N$2:N$6)</f>
        <v>22</v>
      </c>
      <c r="O7">
        <f>SUMPRODUCT($A$2:$A$6, O$2:O$6)</f>
        <v>18</v>
      </c>
      <c r="P7">
        <f>SUMPRODUCT($A$2:$A$6, P$2:P$6)</f>
        <v>20</v>
      </c>
      <c r="Q7">
        <f>SUMPRODUCT($A$2:$A$6, Q$2:Q$6)</f>
        <v>19</v>
      </c>
      <c r="R7">
        <f>SUMPRODUCT($A$2:$A$6, R$2:R$6)</f>
        <v>19</v>
      </c>
      <c r="S7">
        <f>SUMPRODUCT($A$2:$A$6, S$2:S$6)</f>
        <v>17</v>
      </c>
      <c r="U7">
        <f>SUMPRODUCT($A$2:$A$6, U$2:U$6)</f>
        <v>16</v>
      </c>
      <c r="W7">
        <f>SUMPRODUCT($A$2:$A$6, W$2:W$6)</f>
        <v>17</v>
      </c>
    </row>
    <row r="9" spans="1:25">
      <c r="A9">
        <v>1</v>
      </c>
      <c r="B9" t="s">
        <v>28</v>
      </c>
      <c r="C9">
        <v>3</v>
      </c>
    </row>
    <row r="10" spans="1:25">
      <c r="A10">
        <v>2</v>
      </c>
      <c r="B10" t="s">
        <v>38</v>
      </c>
      <c r="C10">
        <v>0</v>
      </c>
    </row>
    <row r="11" spans="1:25">
      <c r="A11">
        <v>3</v>
      </c>
      <c r="B11" t="s">
        <v>33</v>
      </c>
      <c r="C11">
        <v>1</v>
      </c>
      <c r="G11" t="s">
        <v>63</v>
      </c>
      <c r="I11" s="7" t="s">
        <v>64</v>
      </c>
      <c r="J11" t="s">
        <v>65</v>
      </c>
      <c r="L11" s="7" t="s">
        <v>64</v>
      </c>
      <c r="M11" t="s">
        <v>66</v>
      </c>
      <c r="P11" t="s">
        <v>67</v>
      </c>
      <c r="S11" t="s">
        <v>68</v>
      </c>
    </row>
    <row r="12" spans="1:25">
      <c r="A12">
        <v>4</v>
      </c>
      <c r="B12" t="s">
        <v>34</v>
      </c>
      <c r="C12">
        <v>2</v>
      </c>
      <c r="E12">
        <f>SUM(H12:H16)</f>
        <v>170</v>
      </c>
      <c r="G12">
        <v>1</v>
      </c>
      <c r="H12">
        <f>SUM(C2:S2)</f>
        <v>36</v>
      </c>
      <c r="I12" s="8">
        <f>H12/$E$12 * 100</f>
        <v>21.176470588235293</v>
      </c>
      <c r="J12">
        <v>1</v>
      </c>
      <c r="K12">
        <f>SUM(S2:W2)</f>
        <v>8</v>
      </c>
      <c r="L12" s="8">
        <f>K12/$E$13 * 100</f>
        <v>26.666666666666668</v>
      </c>
      <c r="M12">
        <v>1</v>
      </c>
      <c r="N12">
        <f>SUM(C2:W2)</f>
        <v>41</v>
      </c>
      <c r="P12">
        <v>1</v>
      </c>
      <c r="S12">
        <v>1</v>
      </c>
    </row>
    <row r="13" spans="1:25">
      <c r="A13">
        <v>5</v>
      </c>
      <c r="B13" t="s">
        <v>32</v>
      </c>
      <c r="C13">
        <v>1</v>
      </c>
      <c r="E13">
        <f>SUM(K12:K16)</f>
        <v>30</v>
      </c>
      <c r="G13">
        <v>2</v>
      </c>
      <c r="H13">
        <f>SUM(C3:S3)</f>
        <v>24</v>
      </c>
      <c r="I13" s="8">
        <f>H13/$E$12 * 100</f>
        <v>14.117647058823529</v>
      </c>
      <c r="J13">
        <v>2</v>
      </c>
      <c r="K13">
        <f>SUM(S3:W3)</f>
        <v>4</v>
      </c>
      <c r="L13" s="8">
        <f>K13/$E$13 * 100</f>
        <v>13.333333333333334</v>
      </c>
      <c r="M13">
        <v>2</v>
      </c>
      <c r="N13">
        <f>SUM(C3:W3)</f>
        <v>27</v>
      </c>
      <c r="P13">
        <v>2</v>
      </c>
      <c r="S13">
        <v>2</v>
      </c>
    </row>
    <row r="14" spans="1:25">
      <c r="G14">
        <v>3</v>
      </c>
      <c r="H14">
        <f>SUM(C4:S4)</f>
        <v>49</v>
      </c>
      <c r="I14" s="8">
        <f>H14/$E$12 * 100</f>
        <v>28.823529411764703</v>
      </c>
      <c r="J14">
        <v>3</v>
      </c>
      <c r="K14">
        <f>SUM(S4:W4)</f>
        <v>9</v>
      </c>
      <c r="L14" s="8">
        <f>K14/$E$13 * 100</f>
        <v>30</v>
      </c>
      <c r="M14">
        <v>3</v>
      </c>
      <c r="N14">
        <f>SUM(C4:W4)</f>
        <v>55</v>
      </c>
      <c r="P14">
        <v>3</v>
      </c>
      <c r="S14">
        <v>3</v>
      </c>
    </row>
    <row r="15" spans="1:25">
      <c r="G15">
        <v>4</v>
      </c>
      <c r="H15">
        <f>SUM(C5:S5)</f>
        <v>44</v>
      </c>
      <c r="I15" s="8">
        <f>H15/$E$12 * 100</f>
        <v>25.882352941176475</v>
      </c>
      <c r="J15">
        <v>4</v>
      </c>
      <c r="K15">
        <f>SUM(S5:W5)</f>
        <v>8</v>
      </c>
      <c r="L15" s="8">
        <f>K15/$E$13 * 100</f>
        <v>26.666666666666668</v>
      </c>
      <c r="M15">
        <v>4</v>
      </c>
      <c r="N15">
        <f>SUM(C5:W5)</f>
        <v>50</v>
      </c>
      <c r="P15">
        <v>4</v>
      </c>
      <c r="S15">
        <v>4</v>
      </c>
    </row>
    <row r="16" spans="1:25">
      <c r="A16">
        <v>1</v>
      </c>
      <c r="B16" t="s">
        <v>28</v>
      </c>
      <c r="C16">
        <v>3</v>
      </c>
      <c r="G16">
        <v>5</v>
      </c>
      <c r="H16">
        <f>SUM(C6:S6)</f>
        <v>17</v>
      </c>
      <c r="I16" s="8">
        <f>H16/$E$12 * 100</f>
        <v>10</v>
      </c>
      <c r="J16">
        <v>5</v>
      </c>
      <c r="K16">
        <f>SUM(S6:W6)</f>
        <v>1</v>
      </c>
      <c r="L16" s="8">
        <f>K16/$E$13 * 100</f>
        <v>3.3333333333333335</v>
      </c>
      <c r="M16">
        <v>5</v>
      </c>
      <c r="N16">
        <f>SUM(C6:W6)</f>
        <v>17</v>
      </c>
      <c r="P16">
        <v>5</v>
      </c>
      <c r="S16">
        <v>5</v>
      </c>
    </row>
    <row r="17" spans="1:11">
      <c r="A17">
        <v>2</v>
      </c>
      <c r="B17" t="s">
        <v>38</v>
      </c>
      <c r="C17">
        <v>1</v>
      </c>
    </row>
    <row r="18" spans="1:11">
      <c r="A18">
        <v>3</v>
      </c>
      <c r="B18" t="s">
        <v>33</v>
      </c>
      <c r="C18">
        <v>3</v>
      </c>
      <c r="G18" t="s">
        <v>69</v>
      </c>
      <c r="J18" t="s">
        <v>70</v>
      </c>
    </row>
    <row r="19" spans="1:11">
      <c r="A19">
        <v>4</v>
      </c>
      <c r="B19" t="s">
        <v>34</v>
      </c>
      <c r="C19">
        <v>0</v>
      </c>
      <c r="G19">
        <v>1</v>
      </c>
      <c r="H19">
        <f>H12/4</f>
        <v>9</v>
      </c>
      <c r="J19">
        <v>1</v>
      </c>
      <c r="K19">
        <f>H19-K12</f>
        <v>1</v>
      </c>
    </row>
    <row r="20" spans="1:11">
      <c r="A20">
        <v>5</v>
      </c>
      <c r="B20" t="s">
        <v>32</v>
      </c>
      <c r="C20">
        <v>0</v>
      </c>
      <c r="G20">
        <v>2</v>
      </c>
      <c r="H20">
        <f>H13/4</f>
        <v>6</v>
      </c>
      <c r="J20">
        <v>2</v>
      </c>
      <c r="K20">
        <f>H20-K13</f>
        <v>2</v>
      </c>
    </row>
    <row r="21" spans="1:11">
      <c r="G21">
        <v>3</v>
      </c>
      <c r="H21">
        <f>H14/4</f>
        <v>12.25</v>
      </c>
      <c r="J21">
        <v>3</v>
      </c>
      <c r="K21">
        <f>H21-K14</f>
        <v>3.25</v>
      </c>
    </row>
    <row r="22" spans="1:11">
      <c r="G22">
        <v>4</v>
      </c>
      <c r="H22">
        <f>H15/4</f>
        <v>11</v>
      </c>
      <c r="J22">
        <v>4</v>
      </c>
      <c r="K22">
        <f>H22-K15</f>
        <v>3</v>
      </c>
    </row>
    <row r="23" spans="1:11">
      <c r="A23">
        <v>1</v>
      </c>
      <c r="B23" t="s">
        <v>28</v>
      </c>
      <c r="C23">
        <f>COUNTIFS(OfficeForms.Table[Imagine a relative or a friend you see often.The different colors of some familiar clothes.], "*" &amp; $B23&amp; "*")</f>
        <v>2</v>
      </c>
      <c r="G23">
        <v>5</v>
      </c>
      <c r="H23">
        <f>H16/4</f>
        <v>4.25</v>
      </c>
      <c r="J23">
        <v>5</v>
      </c>
      <c r="K23">
        <f>H23-K16</f>
        <v>3.25</v>
      </c>
    </row>
    <row r="24" spans="1:11">
      <c r="A24">
        <v>2</v>
      </c>
      <c r="B24" t="s">
        <v>38</v>
      </c>
      <c r="C24">
        <f>COUNTIFS(OfficeForms.Table[Imagine a relative or a friend you see often.The different colors of some familiar clothes.], "*" &amp; $B24&amp; "*")</f>
        <v>1</v>
      </c>
    </row>
    <row r="25" spans="1:11">
      <c r="A25">
        <v>3</v>
      </c>
      <c r="B25" t="s">
        <v>33</v>
      </c>
      <c r="C25">
        <f>COUNTIFS(OfficeForms.Table[Imagine a relative or a friend you see often.The different colors of some familiar clothes.], "*" &amp; $B25&amp; "*")</f>
        <v>1</v>
      </c>
    </row>
    <row r="26" spans="1:11">
      <c r="A26">
        <v>4</v>
      </c>
      <c r="B26" t="s">
        <v>34</v>
      </c>
      <c r="C26">
        <f>COUNTIFS(OfficeForms.Table[Imagine a relative or a friend you see often.The different colors of some familiar clothes.], "*" &amp; $B26&amp; "*")</f>
        <v>5</v>
      </c>
    </row>
    <row r="27" spans="1:11">
      <c r="A27">
        <v>5</v>
      </c>
      <c r="B27" t="s">
        <v>32</v>
      </c>
      <c r="C27">
        <f>COUNTIFS(OfficeForms.Table[Imagine a relative or a friend you see often.The different colors of some familiar clothes.], "*" &amp; $B27&amp; "*")</f>
        <v>1</v>
      </c>
    </row>
  </sheetData>
  <conditionalFormatting sqref="C2:AB2 C3:X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58C6-CCBE-4056-9917-3EBE7FE534EB}">
  <dimension ref="A1"/>
  <sheetViews>
    <sheetView workbookViewId="0"/>
  </sheetViews>
  <sheetFormatPr defaultRowHeight="15"/>
  <cols>
    <col min="1" max="22" width="9.140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0CE3-716E-4B85-85FC-2232B0227098}">
  <dimension ref="A1:D6"/>
  <sheetViews>
    <sheetView topLeftCell="A7" workbookViewId="0">
      <selection activeCell="D10" sqref="D10"/>
    </sheetView>
  </sheetViews>
  <sheetFormatPr defaultRowHeight="15"/>
  <cols>
    <col min="1" max="1" width="59.28515625" customWidth="1"/>
    <col min="2" max="2" width="62.7109375" customWidth="1"/>
    <col min="3" max="3" width="62" customWidth="1"/>
    <col min="4" max="4" width="59.5703125" customWidth="1"/>
  </cols>
  <sheetData>
    <row r="1" spans="1:4">
      <c r="A1" s="2" t="s">
        <v>28</v>
      </c>
      <c r="B1" s="2" t="s">
        <v>28</v>
      </c>
      <c r="C1" s="2" t="s">
        <v>28</v>
      </c>
      <c r="D1" s="2" t="s">
        <v>28</v>
      </c>
    </row>
    <row r="2" spans="1:4">
      <c r="A2" s="3" t="s">
        <v>32</v>
      </c>
      <c r="B2" s="3" t="s">
        <v>32</v>
      </c>
      <c r="C2" s="3" t="s">
        <v>33</v>
      </c>
      <c r="D2" s="3" t="s">
        <v>33</v>
      </c>
    </row>
    <row r="3" spans="1:4">
      <c r="A3" s="2" t="s">
        <v>38</v>
      </c>
      <c r="B3" s="2" t="s">
        <v>34</v>
      </c>
      <c r="C3" s="2" t="s">
        <v>33</v>
      </c>
      <c r="D3" s="2" t="s">
        <v>34</v>
      </c>
    </row>
    <row r="4" spans="1:4">
      <c r="A4" s="3" t="s">
        <v>38</v>
      </c>
      <c r="B4" s="3" t="s">
        <v>28</v>
      </c>
      <c r="C4" s="3" t="s">
        <v>38</v>
      </c>
      <c r="D4" s="3" t="s">
        <v>28</v>
      </c>
    </row>
    <row r="5" spans="1:4">
      <c r="A5" s="2" t="s">
        <v>34</v>
      </c>
      <c r="B5" s="2" t="s">
        <v>34</v>
      </c>
      <c r="C5" s="2" t="s">
        <v>33</v>
      </c>
      <c r="D5" s="2" t="s">
        <v>34</v>
      </c>
    </row>
    <row r="6" spans="1:4">
      <c r="A6" s="3" t="s">
        <v>33</v>
      </c>
      <c r="B6" s="3" t="s">
        <v>33</v>
      </c>
      <c r="C6" s="3" t="s">
        <v>28</v>
      </c>
      <c r="D6" s="3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2026-01-08T20:13:55Z</dcterms:created>
  <dcterms:modified xsi:type="dcterms:W3CDTF">2026-01-08T22:54:49Z</dcterms:modified>
  <cp:category/>
  <cp:contentStatus/>
</cp:coreProperties>
</file>